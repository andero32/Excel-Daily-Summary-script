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hdata\treusersh$\amlawrenceschweizer\"/>
    </mc:Choice>
  </mc:AlternateContent>
  <xr:revisionPtr revIDLastSave="0" documentId="13_ncr:1_{A9DA6D1A-BD64-4FB2-B6EB-1DFB3E8353F7}" xr6:coauthVersionLast="47" xr6:coauthVersionMax="47" xr10:uidLastSave="{00000000-0000-0000-0000-000000000000}"/>
  <bookViews>
    <workbookView xWindow="28680" yWindow="-120" windowWidth="29040" windowHeight="15840" xr2:uid="{62C37460-F2C0-4068-8B6E-15A5C6678F20}"/>
  </bookViews>
  <sheets>
    <sheet name="Treasurer's Report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1" l="1"/>
  <c r="C25" i="1"/>
  <c r="C26" i="1"/>
  <c r="C27" i="1"/>
  <c r="C28" i="1"/>
  <c r="B29" i="1"/>
  <c r="C29" i="1"/>
</calcChain>
</file>

<file path=xl/sharedStrings.xml><?xml version="1.0" encoding="utf-8"?>
<sst xmlns="http://schemas.openxmlformats.org/spreadsheetml/2006/main" count="19" uniqueCount="18">
  <si>
    <t xml:space="preserve">Vendors </t>
  </si>
  <si>
    <t>NMH Unearned Revenue 9/13/23 (NMH091423U)</t>
  </si>
  <si>
    <t>Treasurer's Report - Concentration Account</t>
  </si>
  <si>
    <t>Date</t>
  </si>
  <si>
    <t>Description</t>
  </si>
  <si>
    <t>Debit</t>
  </si>
  <si>
    <t>Credit</t>
  </si>
  <si>
    <t>Next Day (9.13) to G/F</t>
  </si>
  <si>
    <t>Next Day (9.13) from G/F</t>
  </si>
  <si>
    <t>Same Day to G/F</t>
  </si>
  <si>
    <t>Same Day from G/F</t>
  </si>
  <si>
    <t>Ending Balance</t>
  </si>
  <si>
    <t>*Enter Starting Balance</t>
  </si>
  <si>
    <t>Daily Collections Check</t>
  </si>
  <si>
    <t>County</t>
  </si>
  <si>
    <t>Tax Claim</t>
  </si>
  <si>
    <t>County 2</t>
  </si>
  <si>
    <t xml:space="preserve">*get rid of ending balance macro total and make it a formula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</si>
</sst>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</cellStyleXfs>
  <cellXfs count="14">
    <xf numFmtId="0" fontId="0" fillId="0" borderId="0" xfId="0"/>
    <xf numFmtId="14" fontId="0" fillId="0" borderId="0" xfId="0" applyNumberFormat="1"/>
    <xf numFmtId="7" fontId="0" fillId="0" borderId="0" xfId="0" applyNumberFormat="1"/>
    <xf numFmtId="0" fontId="1" fillId="0" borderId="0" xfId="0" applyFont="1"/>
    <xf numFmtId="14" fontId="1" fillId="0" borderId="0" xfId="0" applyNumberFormat="1" applyFont="1"/>
    <xf numFmtId="0" fontId="4" fillId="0" borderId="0" xfId="0" applyFont="1"/>
    <xf numFmtId="164" fontId="5" fillId="0" borderId="0" xfId="0" applyNumberFormat="1" applyFont="1"/>
    <xf numFmtId="0" fontId="2" fillId="2" borderId="0" xfId="1"/>
    <xf numFmtId="0" fontId="3" fillId="3" borderId="1" xfId="2"/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44" fontId="0" fillId="0" borderId="0" xfId="0" applyNumberFormat="1"/>
    <xf numFmtId="44" fontId="0" fillId="0" borderId="4" xfId="0" applyNumberFormat="1" applyBorder="1"/>
    <xf numFmtId="0" fontId="7" fillId="0" borderId="0" xfId="0" applyFont="1" applyAlignment="1">
      <alignment horizontal="center"/>
    </xf>
  </cellXfs>
  <cellStyles count="3">
    <cellStyle name="Check Cell" xfId="2" builtinId="23"/>
    <cellStyle name="Neutral" xfId="1" builtinId="28"/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hdata\treshared$\Admin%20Assistant\TREASURER'S%20REPORT%2012-13-19%20(Autosaved).xls" TargetMode="External"/><Relationship Id="rId1" Type="http://schemas.openxmlformats.org/officeDocument/2006/relationships/externalLinkPath" Target="file:///\\chdata\treshared$\Admin%20Assistant\TREASURER'S%20REPORT%2012-13-19%20(Autosaved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reasurer's Report"/>
    </sheetNames>
    <sheetDataSet>
      <sheetData sheetId="0">
        <row r="38">
          <cell r="L38" t="str">
            <v>Daily Collections</v>
          </cell>
          <cell r="M38" t="str">
            <v>Daily Receipts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9FFC154-64E4-4FBD-86A4-1469E0AFC605}" name="Table16" displayName="Table16" ref="A3:E11" totalsRowShown="0">
  <autoFilter ref="A3:E11" xr:uid="{E9FFC154-64E4-4FBD-86A4-1469E0AFC605}"/>
  <tableColumns count="5">
    <tableColumn id="1" xr3:uid="{5C6B7345-1499-4EDB-B52B-62A200F4B2D9}" name="Date" dataDxfId="0"/>
    <tableColumn id="2" xr3:uid="{DEFE716F-E0D7-45CF-9BA8-90AEF972E8DB}" name="Description"/>
    <tableColumn id="3" xr3:uid="{7DE5EC63-93F7-4734-BB14-C5FEAF9133EA}" name="Debit"/>
    <tableColumn id="4" xr3:uid="{26E97DDB-F9A0-4C0B-B85A-33641EE95E28}" name="Credit"/>
    <tableColumn id="5" xr3:uid="{395A254A-3DA2-4F3E-9C59-16B5BECC2FF7}" name="Ending Bala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5BDAB-AAA4-4BE5-89F9-31BFCD0AD1DC}">
  <sheetPr codeName="Sheet1"/>
  <dimension ref="A1:E30"/>
  <sheetViews>
    <sheetView tabSelected="1" workbookViewId="0">
      <selection activeCell="G18" sqref="G18"/>
    </sheetView>
  </sheetViews>
  <sheetFormatPr defaultRowHeight="15" x14ac:dyDescent="0.25"/>
  <cols>
    <col min="1" max="1" width="16" bestFit="1" customWidth="1"/>
    <col min="2" max="2" width="44.7109375" bestFit="1" customWidth="1"/>
    <col min="3" max="3" width="13.140625" bestFit="1" customWidth="1"/>
    <col min="4" max="4" width="21.7109375" bestFit="1" customWidth="1"/>
    <col min="5" max="5" width="16.42578125" customWidth="1"/>
  </cols>
  <sheetData>
    <row r="1" spans="1:5" ht="24.75" thickTop="1" thickBot="1" x14ac:dyDescent="0.4">
      <c r="A1" s="3" t="s">
        <v>2</v>
      </c>
      <c r="D1" s="8" t="s">
        <v>12</v>
      </c>
      <c r="E1" s="7"/>
    </row>
    <row r="2" spans="1:5" ht="24" thickTop="1" x14ac:dyDescent="0.35">
      <c r="A2" s="4">
        <v>45183</v>
      </c>
    </row>
    <row r="3" spans="1:5" x14ac:dyDescent="0.25">
      <c r="A3" t="s">
        <v>3</v>
      </c>
      <c r="B3" t="s">
        <v>4</v>
      </c>
      <c r="C3" t="s">
        <v>5</v>
      </c>
      <c r="D3" t="s">
        <v>6</v>
      </c>
      <c r="E3" s="5" t="s">
        <v>11</v>
      </c>
    </row>
    <row r="4" spans="1:5" x14ac:dyDescent="0.25">
      <c r="A4" s="1">
        <v>45183</v>
      </c>
      <c r="B4" t="s">
        <v>0</v>
      </c>
      <c r="D4" s="2">
        <v>1234249.81</v>
      </c>
    </row>
    <row r="5" spans="1:5" x14ac:dyDescent="0.25">
      <c r="A5" s="1">
        <v>45183</v>
      </c>
      <c r="B5" t="s">
        <v>1</v>
      </c>
      <c r="C5" s="2">
        <v>65269</v>
      </c>
    </row>
    <row r="6" spans="1:5" x14ac:dyDescent="0.25">
      <c r="A6" s="1">
        <v>45183</v>
      </c>
      <c r="B6" t="s">
        <v>7</v>
      </c>
      <c r="C6" s="2">
        <v>146911.75</v>
      </c>
    </row>
    <row r="7" spans="1:5" x14ac:dyDescent="0.25">
      <c r="A7" s="1">
        <v>45183</v>
      </c>
      <c r="B7" t="s">
        <v>8</v>
      </c>
      <c r="D7" s="2">
        <v>146911.75</v>
      </c>
    </row>
    <row r="8" spans="1:5" x14ac:dyDescent="0.25">
      <c r="A8" s="1">
        <v>45183</v>
      </c>
      <c r="B8" t="s">
        <v>9</v>
      </c>
      <c r="C8" s="2">
        <v>47395.3</v>
      </c>
    </row>
    <row r="9" spans="1:5" x14ac:dyDescent="0.25">
      <c r="A9" s="1">
        <v>45183</v>
      </c>
      <c r="B9" t="s">
        <v>10</v>
      </c>
      <c r="D9" s="2">
        <v>350</v>
      </c>
    </row>
    <row r="11" spans="1:5" x14ac:dyDescent="0.25">
      <c r="A11" s="5" t="s">
        <v>11</v>
      </c>
      <c r="E11" s="6">
        <v>-1121935.51</v>
      </c>
    </row>
    <row r="17" spans="2:3" x14ac:dyDescent="0.25">
      <c r="B17" t="s">
        <v>17</v>
      </c>
    </row>
    <row r="24" spans="2:3" x14ac:dyDescent="0.25">
      <c r="B24" s="13" t="s">
        <v>13</v>
      </c>
    </row>
    <row r="25" spans="2:3" x14ac:dyDescent="0.25">
      <c r="B25" s="9" t="str">
        <f>'[1]Treasurer''s Report'!L38</f>
        <v>Daily Collections</v>
      </c>
      <c r="C25" s="10" t="str">
        <f>'[1]Treasurer''s Report'!M38</f>
        <v>Daily Receipts</v>
      </c>
    </row>
    <row r="26" spans="2:3" x14ac:dyDescent="0.25">
      <c r="B26" s="11" t="s">
        <v>14</v>
      </c>
      <c r="C26" s="11">
        <f>'[1]Treasurer''s Report'!M39</f>
        <v>0</v>
      </c>
    </row>
    <row r="27" spans="2:3" x14ac:dyDescent="0.25">
      <c r="B27" s="11" t="s">
        <v>15</v>
      </c>
      <c r="C27" s="11">
        <f>'[1]Treasurer''s Report'!M40</f>
        <v>0</v>
      </c>
    </row>
    <row r="28" spans="2:3" x14ac:dyDescent="0.25">
      <c r="B28" s="11" t="s">
        <v>16</v>
      </c>
      <c r="C28" s="11">
        <f>'[1]Treasurer''s Report'!M41</f>
        <v>0</v>
      </c>
    </row>
    <row r="29" spans="2:3" ht="15.75" thickBot="1" x14ac:dyDescent="0.3">
      <c r="B29" s="12">
        <f>'[1]Treasurer''s Report'!L42</f>
        <v>0</v>
      </c>
      <c r="C29" s="12">
        <f>'[1]Treasurer''s Report'!M42</f>
        <v>0</v>
      </c>
    </row>
    <row r="30" spans="2:3" ht="15.75" thickTop="1" x14ac:dyDescent="0.25"/>
  </sheetData>
  <pageMargins left="0.7" right="0.7" top="0.75" bottom="0.75" header="0.3" footer="0.3"/>
  <pageSetup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Treasurer's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Lawrence-Schweizer, Andrew M.</dc:creator>
  <cp:lastModifiedBy>Lawrence-Schweizer, Andrew M.</cp:lastModifiedBy>
  <cp:lastPrinted>2023-09-14T18:39:31Z</cp:lastPrinted>
  <dcterms:created xsi:type="dcterms:W3CDTF">2023-09-14T15:11:15Z</dcterms:created>
  <dcterms:modified xsi:type="dcterms:W3CDTF">2023-09-14T19:15:43Z</dcterms:modified>
</cp:coreProperties>
</file>